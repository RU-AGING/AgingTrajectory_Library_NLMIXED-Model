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Test Cases" sheetId="2" state="visible" r:id="rId4"/>
  </sheets>
  <definedNames>
    <definedName function="false" hidden="false" localSheetId="1" name="_xlnm.Print_Titles" vbProcedure="false">'Test Cases'!$1:$1</definedName>
    <definedName function="false" hidden="true" localSheetId="1" name="_xlnm._FilterDatabase" vbProcedure="false">'Test Cases'!$A$1:$H$56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<sst xmlns="http://schemas.openxmlformats.org/spreadsheetml/2006/main" count="387" uniqueCount="286">
  <si>
    <t xml:space="preserve">Traj2 QA Test Cases</t>
  </si>
  <si>
    <t xml:space="preserve">Group-Based Trajectory Modeling Macro Library  ·  CHAO Lab, Rutgers</t>
  </si>
  <si>
    <t xml:space="preserve">Covers all four models: continuous (censored normal), ordinal-probit, ZIP, and ZINB.</t>
  </si>
  <si>
    <t xml:space="preserve">Summary</t>
  </si>
  <si>
    <t xml:space="preserve">Total test cases</t>
  </si>
  <si>
    <t xml:space="preserve">Pass</t>
  </si>
  <si>
    <t xml:space="preserve">Fail</t>
  </si>
  <si>
    <t xml:space="preserve">Blocked</t>
  </si>
  <si>
    <t xml:space="preserve">N/A</t>
  </si>
  <si>
    <t xml:space="preserve">Not yet run</t>
  </si>
  <si>
    <t xml:space="preserve">Cases by module</t>
  </si>
  <si>
    <t xml:space="preserve">Environment</t>
  </si>
  <si>
    <t xml:space="preserve">Continuous</t>
  </si>
  <si>
    <t xml:space="preserve">Ordinal</t>
  </si>
  <si>
    <t xml:space="preserve">ZIP</t>
  </si>
  <si>
    <t xml:space="preserve">ZINB</t>
  </si>
  <si>
    <t xml:space="preserve">How to use</t>
  </si>
  <si>
    <t xml:space="preserve">1. Work through the Test Cases tab. Each row is one test.</t>
  </si>
  <si>
    <t xml:space="preserve">2. Run the Steps against the model, then set Result to Pass, Fail, Blocked, or N/A (dropdown).</t>
  </si>
  <si>
    <t xml:space="preserve">3. Record what you saw in Analyst Notes, especially for any Fail or Blocked.</t>
  </si>
  <si>
    <t xml:space="preserve">4. The Result column (shaded) is the only column you edit; the Summary above updates automatically.</t>
  </si>
  <si>
    <t xml:space="preserve">5. Module colors: Environment grey, Continuous amber, Ordinal purple, ZIP blue, ZINB teal.</t>
  </si>
  <si>
    <t xml:space="preserve">Example row</t>
  </si>
  <si>
    <t xml:space="preserve">Test ID</t>
  </si>
  <si>
    <t xml:space="preserve">Module</t>
  </si>
  <si>
    <t xml:space="preserve">Scenario</t>
  </si>
  <si>
    <t xml:space="preserve">Action</t>
  </si>
  <si>
    <t xml:space="preserve">Result</t>
  </si>
  <si>
    <t xml:space="preserve">C05</t>
  </si>
  <si>
    <t xml:space="preserve">Joint two-outcome fit</t>
  </si>
  <si>
    <t xml:space="preserve">Run steps, then mark Result</t>
  </si>
  <si>
    <t xml:space="preserve">This is an illustrative row only; the real tests live on the Test Cases tab.</t>
  </si>
  <si>
    <t xml:space="preserve">Pre-conditions</t>
  </si>
  <si>
    <t xml:space="preserve">Steps</t>
  </si>
  <si>
    <t xml:space="preserve">Expected Result</t>
  </si>
  <si>
    <t xml:space="preserve">Analyst Notes</t>
  </si>
  <si>
    <t xml:space="preserve">G01</t>
  </si>
  <si>
    <t xml:space="preserve">PROC NLMIXED available</t>
  </si>
  <si>
    <t xml:space="preserve">Licensed SAS 9.4+ with SAS/STAT</t>
  </si>
  <si>
    <t xml:space="preserve">Run a trivial PROC NLMIXED step.</t>
  </si>
  <si>
    <t xml:space="preserve">Procedure runs; no license or setup errors.</t>
  </si>
  <si>
    <t xml:space="preserve">Verified 14 Oct 2026. traj2_threshold_check.sas completed 200 PROC NLMIXED fits and wrote parameter estimates and fit statistics. Evidence: traj2_threshold_recovery.pdf, cst_recovery_metrics.csv.</t>
  </si>
  <si>
    <t xml:space="preserve">G02</t>
  </si>
  <si>
    <t xml:space="preserve">ODS Graphics renders</t>
  </si>
  <si>
    <t xml:space="preserve">SAS/GRAPH or ODS Graphics enabled</t>
  </si>
  <si>
    <t xml:space="preserve">Enable ODS Graphics; run any plotting macro.</t>
  </si>
  <si>
    <t xml:space="preserve">Plots render with no device errors.</t>
  </si>
  <si>
    <t xml:space="preserve">G03</t>
  </si>
  <si>
    <t xml:space="preserve">WORK library writable</t>
  </si>
  <si>
    <t xml:space="preserve">Session started</t>
  </si>
  <si>
    <t xml:space="preserve">Create and drop a table in WORK.</t>
  </si>
  <si>
    <t xml:space="preserve">WORK is writable; no permission errors.</t>
  </si>
  <si>
    <t xml:space="preserve">G04</t>
  </si>
  <si>
    <t xml:space="preserve">PROC IML available (continuous plots)</t>
  </si>
  <si>
    <t xml:space="preserve">SAS/IML licensed</t>
  </si>
  <si>
    <t xml:space="preserve">Run %plot_prep on the continuous model.</t>
  </si>
  <si>
    <t xml:space="preserve">IML steps run; posterior-weighted means computed. If IML is unlicensed, the fit still runs but this overlay does not.</t>
  </si>
  <si>
    <t xml:space="preserve">Only the continuous model uses IML.</t>
  </si>
  <si>
    <t xml:space="preserve">C01</t>
  </si>
  <si>
    <t xml:space="preserve">Simulator + base build</t>
  </si>
  <si>
    <t xml:space="preserve">continuous_2outcomes.sas sourced, USE_SIM=1</t>
  </si>
  <si>
    <t xml:space="preserve">Set Step 0 (T=12, class=3, order_model=2, equal=T); source the file.</t>
  </si>
  <si>
    <t xml:space="preserve">BASE_FILE_SRS built with BENE_ID, QHH1-QHH12, QINP1-QINP12, quar1-quar12 (=1..12), CAP1-CAP12.</t>
  </si>
  <si>
    <t xml:space="preserve">C02</t>
  </si>
  <si>
    <t xml:space="preserve">Single-outcome fit, outcome 1</t>
  </si>
  <si>
    <t xml:space="preserve">BASE_FILE_SRS present</t>
  </si>
  <si>
    <t xml:space="preserve">Call %nlmixed_1 with Y=1.</t>
  </si>
  <si>
    <t xml:space="preserve">Converges; nlm_fix_T1{class} holds alpha, beta, sigma estimates.</t>
  </si>
  <si>
    <t xml:space="preserve">C03</t>
  </si>
  <si>
    <t xml:space="preserve">Single-outcome fit, outcome 2</t>
  </si>
  <si>
    <t xml:space="preserve">Call %nlmixed_1 with Y=2.</t>
  </si>
  <si>
    <t xml:space="preserve">Converges; nlm_fix_T2{class} created.</t>
  </si>
  <si>
    <t xml:space="preserve">C04</t>
  </si>
  <si>
    <t xml:space="preserve">Warm-start build</t>
  </si>
  <si>
    <t xml:space="preserve">Both single fits complete</t>
  </si>
  <si>
    <t xml:space="preserve">Run the DATA step stacking the two fits and dropping alpha rows.</t>
  </si>
  <si>
    <t xml:space="preserve">nlm_2y_starting created; no rows whose parameter begins 'alpha'.</t>
  </si>
  <si>
    <t xml:space="preserve">nlm_2y_starting present</t>
  </si>
  <si>
    <t xml:space="preserve">Call %nlmixed_MultiTraj with the warm start.</t>
  </si>
  <si>
    <t xml:space="preserve">Converges; nlm_fix_T1_T2{class} created. For C=3, order=2, equal=T the fit has 22 parameters.</t>
  </si>
  <si>
    <t xml:space="preserve">C06</t>
  </si>
  <si>
    <t xml:space="preserve">Plots + posterior summary</t>
  </si>
  <si>
    <t xml:space="preserve">A fit result dataset present</t>
  </si>
  <si>
    <t xml:space="preserve">Call %plot_prep with matching order and equal_sigma.</t>
  </si>
  <si>
    <t xml:space="preserve">Predicted-trajectory and predicted-vs-observed plots render; avg_membership produced.</t>
  </si>
  <si>
    <t xml:space="preserve">C07</t>
  </si>
  <si>
    <t xml:space="preserve">equal_sigma T vs F</t>
  </si>
  <si>
    <t xml:space="preserve">Fit once with equal=T, once with equal=F.</t>
  </si>
  <si>
    <t xml:space="preserve">T yields one sigma per outcome (sigma1_, sigma2_); F yields one sigma per class per outcome.</t>
  </si>
  <si>
    <t xml:space="preserve">C08</t>
  </si>
  <si>
    <t xml:space="preserve">Censoring recognition</t>
  </si>
  <si>
    <t xml:space="preserve">Data with values at 0 and at the cap</t>
  </si>
  <si>
    <t xml:space="preserve">Fit and inspect the likelihood branches.</t>
  </si>
  <si>
    <t xml:space="preserve">Values equal to 0 use the lower-censored branch; values equal to CAP[t] use the upper-censored branch; interior values use the density.</t>
  </si>
  <si>
    <t xml:space="preserve">Lower bound is fixed at 0 in code; validate caps against the sample max.</t>
  </si>
  <si>
    <t xml:space="preserve">C09</t>
  </si>
  <si>
    <t xml:space="preserve">Cold start vs warm start</t>
  </si>
  <si>
    <t xml:space="preserve">Fit the joint model without running the single fits first.</t>
  </si>
  <si>
    <t xml:space="preserve">Higher risk of non-convergence than the warm-start path; documents why the warm start is used.</t>
  </si>
  <si>
    <t xml:space="preserve">C10</t>
  </si>
  <si>
    <t xml:space="preserve">Missing time points</t>
  </si>
  <si>
    <t xml:space="preserve">Unbalanced data with some missing (.)</t>
  </si>
  <si>
    <t xml:space="preserve">Fit with missing time points present.</t>
  </si>
  <si>
    <t xml:space="preserve">Model runs; missing handled under MAR per the data dictionary.</t>
  </si>
  <si>
    <t xml:space="preserve">QA should confirm missing contributions do not corrupt the per-subject likelihood.</t>
  </si>
  <si>
    <t xml:space="preserve">C11</t>
  </si>
  <si>
    <t xml:space="preserve">Polynomial order 1/2/3</t>
  </si>
  <si>
    <t xml:space="preserve">Fit with order_model = 1, 2, 3.</t>
  </si>
  <si>
    <t xml:space="preserve">Beta parameter count per class grows with the order.</t>
  </si>
  <si>
    <t xml:space="preserve">C12</t>
  </si>
  <si>
    <t xml:space="preserve">User data (USE_SIM=0)</t>
  </si>
  <si>
    <t xml:space="preserve">BASE_FILE_SRS supplied by user</t>
  </si>
  <si>
    <t xml:space="preserve">Set USE_SIM=0 with a prepared table; source the file.</t>
  </si>
  <si>
    <t xml:space="preserve">Caps added from max_values; fit uses the user table. quar1-quarT must already hold 1..T (code does not create them for real data).</t>
  </si>
  <si>
    <t xml:space="preserve">O01</t>
  </si>
  <si>
    <t xml:space="preserve">ordinal_probit.sas sourced</t>
  </si>
  <si>
    <t xml:space="preserve">Run %sim_data then %build_base_from_simwide(T=12).</t>
  </si>
  <si>
    <t xml:space="preserve">BASE_FILE_SRS with BENE_ID, quar1-quar12 (values 0..11), Y1_1-Y1_12.</t>
  </si>
  <si>
    <t xml:space="preserve">Time index is 0-based (0..T-1).</t>
  </si>
  <si>
    <t xml:space="preserve">O02</t>
  </si>
  <si>
    <t xml:space="preserve">cap vs m consistency</t>
  </si>
  <si>
    <t xml:space="preserve">Simulator available</t>
  </si>
  <si>
    <t xml:space="preserve">Simulate with cap=3; fit with m=4, ycodes=0 1 2 3.</t>
  </si>
  <si>
    <t xml:space="preserve">Outcome takes values {0,1,2,3}, matching m and ycodes.</t>
  </si>
  <si>
    <t xml:space="preserve">O03</t>
  </si>
  <si>
    <t xml:space="preserve">K-class fit + plot</t>
  </si>
  <si>
    <t xml:space="preserve">Fit %ordprob_mix_fit_one (k=3, deg=2); run %ordprob_mix_plot_one.</t>
  </si>
  <si>
    <t xml:space="preserve">Class-proportion barplot and K predicted E[Y|class] trajectories render.</t>
  </si>
  <si>
    <t xml:space="preserve">O04</t>
  </si>
  <si>
    <t xml:space="preserve">Single PARMS statement</t>
  </si>
  <si>
    <t xml:space="preserve">Fit invoked</t>
  </si>
  <si>
    <t xml:space="preserve">Inspect the generated PARMS.</t>
  </si>
  <si>
    <t xml:space="preserve">Exactly one PARMS statement; defaults plus any overrides, no duplicates.</t>
  </si>
  <si>
    <t xml:space="preserve">O05</t>
  </si>
  <si>
    <t xml:space="preserve">start_values overrides</t>
  </si>
  <si>
    <t xml:space="preserve">Fit invoked with start_values</t>
  </si>
  <si>
    <t xml:space="preserve">Pass a subset of parameters in start_values.</t>
  </si>
  <si>
    <t xml:space="preserve">Overrides applied; alpha0_A never supplied (class A fixed to 0). Per the data dictionary, supply increments rather than the first threshold.</t>
  </si>
  <si>
    <t xml:space="preserve">Code adds i{class}1 to defaults and the shipped example supplies ia1; confirm intended handling of the first threshold.</t>
  </si>
  <si>
    <t xml:space="preserve">O06</t>
  </si>
  <si>
    <t xml:space="preserve">Category outside ycodes</t>
  </si>
  <si>
    <t xml:space="preserve">Data with an out-of-range code</t>
  </si>
  <si>
    <t xml:space="preserve">Introduce a value not present in ycodes.</t>
  </si>
  <si>
    <t xml:space="preserve">That time point is not counted (cat set to missing); behavior documented.</t>
  </si>
  <si>
    <t xml:space="preserve">O07</t>
  </si>
  <si>
    <t xml:space="preserve">Standard errors estimable</t>
  </si>
  <si>
    <t xml:space="preserve">A converged fit</t>
  </si>
  <si>
    <t xml:space="preserve">Check standard errors for all free parameters.</t>
  </si>
  <si>
    <t xml:space="preserve">SEs are non-missing and positive; no Moore-Penrose warnings.</t>
  </si>
  <si>
    <t xml:space="preserve">Verified 14 Oct 2026 on the class-specific-threshold design. Wald bounds lo_2, lo_3, hi_2, hi_3 are non-missing in every row of cst_recovery_metrics.csv and coverage was computed over 196 replications (0.913 to 0.964). No Moore-Penrose warnings. Evidence: traj2_threshold_recovery.pdf QC 1 and QC 4.</t>
  </si>
  <si>
    <t xml:space="preserve">O08</t>
  </si>
  <si>
    <t xml:space="preserve">BIC across K</t>
  </si>
  <si>
    <t xml:space="preserve">Fits for several k</t>
  </si>
  <si>
    <t xml:space="preserve">Fit k=2..6; compare fit statistics.</t>
  </si>
  <si>
    <t xml:space="preserve">FIT_K{k} contains AIC, BIC, -2 log L; supports selecting k by BIC.</t>
  </si>
  <si>
    <t xml:space="preserve">O09</t>
  </si>
  <si>
    <t xml:space="preserve">Natural-scale thresholds</t>
  </si>
  <si>
    <t xml:space="preserve">Inspect the additional-estimates output.</t>
  </si>
  <si>
    <t xml:space="preserve">ESTS_K{k} contains thresholds on the natural scale, ordered by construction.</t>
  </si>
  <si>
    <t xml:space="preserve">Verified 14 Oct 2026. QC 1 of traj2_threshold_recovery.pdf prints th_2 and th_3 on the natural scale for all three classes (0.994 and 1.996; 0.497 and 0.981; 2.060 and 4.116), ordered th_2 &lt; th_3 in every class.</t>
  </si>
  <si>
    <t xml:space="preserve">O10</t>
  </si>
  <si>
    <t xml:space="preserve">Data with missing (.)</t>
  </si>
  <si>
    <t xml:space="preserve">Fit with missing present.</t>
  </si>
  <si>
    <t xml:space="preserve">Missing skipped in the likelihood under MAR; model runs.</t>
  </si>
  <si>
    <t xml:space="preserve">O11</t>
  </si>
  <si>
    <t xml:space="preserve">Time index 0..T-1</t>
  </si>
  <si>
    <t xml:space="preserve">Confirm quar values and the plot axis.</t>
  </si>
  <si>
    <t xml:space="preserve">quar holds 0..11; predicted-trajectory axis runs 0..11.</t>
  </si>
  <si>
    <t xml:space="preserve">Data dictionary text says 1..T; code and plots use 0..T-1.</t>
  </si>
  <si>
    <t xml:space="preserve">O12</t>
  </si>
  <si>
    <t xml:space="preserve">Posterior classification and APP/OCC</t>
  </si>
  <si>
    <t xml:space="preserve">A fitted K-class model exists (ordprob_mix_fit_one has been run with the same prefix and k)</t>
  </si>
  <si>
    <t xml:space="preserve">Call %ordprob_mix_post_one with the same data, id, yvars, tvars, ttotal, m, ycodes, deg, k, outestlib and prefix used for the fit.</t>
  </si>
  <si>
    <t xml:space="preserve">POST_K{k} holds one row per subject with post1..postK, maxpost, classnum and class. CLASS_K{k} holds one row per class with n, percent, pie, app and occ. Every app is at least 0.7 and every occ at least 5 (Nagin's thresholds).</t>
  </si>
  <si>
    <t xml:space="preserve">Not yet run. Added 14 Oct 2026: no replication script calls %ordprob_mix_post_one, so this macro is currently untested. CLASS_K{k} is the source of the APP and OCC figures in the companion article.</t>
  </si>
  <si>
    <t xml:space="preserve">Z01</t>
  </si>
  <si>
    <t xml:space="preserve">Simulator basic run</t>
  </si>
  <si>
    <t xml:space="preserve">zip_poisson.sas sourced</t>
  </si>
  <si>
    <t xml:space="preserve">Run %sim_data(dist=poisson).</t>
  </si>
  <si>
    <t xml:space="preserve">sim_long and sim_wide created; counts within 0..cap.</t>
  </si>
  <si>
    <t xml:space="preserve">Z02</t>
  </si>
  <si>
    <t xml:space="preserve">Input prep to BASE_FILE_SRS</t>
  </si>
  <si>
    <t xml:space="preserve">Simulated wide data present</t>
  </si>
  <si>
    <t xml:space="preserve">Run section [B] input prep.</t>
  </si>
  <si>
    <t xml:space="preserve">BASE_FILE_SRS with BENE_ID and SUM_Q1-SUM_Q12.</t>
  </si>
  <si>
    <t xml:space="preserve">Z03</t>
  </si>
  <si>
    <t xml:space="preserve">2-class baseline fit</t>
  </si>
  <si>
    <t xml:space="preserve">Fit %ct_zip_pois_nlmixed with nclass=2, class_labels=A B.</t>
  </si>
  <si>
    <t xml:space="preserve">Converges; pe_zip and fit_zip created.</t>
  </si>
  <si>
    <t xml:space="preserve">Z04</t>
  </si>
  <si>
    <t xml:space="preserve">6-class default fit</t>
  </si>
  <si>
    <t xml:space="preserve">Fit with the default nclass=6, class_labels=A B C D E F.</t>
  </si>
  <si>
    <t xml:space="preserve">Converges; AIC and BIC present in fit_zip.</t>
  </si>
  <si>
    <t xml:space="preserve">Z05</t>
  </si>
  <si>
    <t xml:space="preserve">3-class fit + plots</t>
  </si>
  <si>
    <t xml:space="preserve">Run %ct_zip_plots.</t>
  </si>
  <si>
    <t xml:space="preserve">Three class curves plus the mixture-mean overlay render.</t>
  </si>
  <si>
    <t xml:space="preserve">Z06</t>
  </si>
  <si>
    <t xml:space="preserve">class_labels vs nclass mismatch</t>
  </si>
  <si>
    <t xml:space="preserve">Set nclass and class_labels to different counts.</t>
  </si>
  <si>
    <t xml:space="preserve">Parameter build does not line up with the classes; document the resulting error.</t>
  </si>
  <si>
    <t xml:space="preserve">ZIP has no abort guard (unlike ZINB); mismatch is not caught cleanly.</t>
  </si>
  <si>
    <t xml:space="preserve">Z07</t>
  </si>
  <si>
    <t xml:space="preserve">Missing Y handled</t>
  </si>
  <si>
    <t xml:space="preserve">Data with missing counts</t>
  </si>
  <si>
    <t xml:space="preserve">Missing skipped; no math errors.</t>
  </si>
  <si>
    <t xml:space="preserve">Z08</t>
  </si>
  <si>
    <t xml:space="preserve">All starts default to 0</t>
  </si>
  <si>
    <t xml:space="preserve">No %let starts set</t>
  </si>
  <si>
    <t xml:space="preserve">Fit with section [C] cleared.</t>
  </si>
  <si>
    <t xml:space="preserve">Single PARMS with all-zero starts; no duplicates in the log.</t>
  </si>
  <si>
    <t xml:space="preserve">Z09</t>
  </si>
  <si>
    <t xml:space="preserve">User starts via %let</t>
  </si>
  <si>
    <t xml:space="preserve">%let starts set in [C]</t>
  </si>
  <si>
    <t xml:space="preserve">Set a few starts and fit.</t>
  </si>
  <si>
    <t xml:space="preserve">Supplied values appear in PARMS; unset parameters default to 0.</t>
  </si>
  <si>
    <t xml:space="preserve">Z10</t>
  </si>
  <si>
    <t xml:space="preserve">p_order 0 vs 1</t>
  </si>
  <si>
    <t xml:space="preserve">Fit with p_order=0 then p_order=1.</t>
  </si>
  <si>
    <t xml:space="preserve">p_order=0 gives constant inflation; p_order=1 adds gamma1 per class.</t>
  </si>
  <si>
    <t xml:space="preserve">Z11</t>
  </si>
  <si>
    <t xml:space="preserve">order 1/2/3</t>
  </si>
  <si>
    <t xml:space="preserve">Fit with order=1,2,3.</t>
  </si>
  <si>
    <t xml:space="preserve">Mean-curve beta count per class grows with the order.</t>
  </si>
  <si>
    <t xml:space="preserve">Z12</t>
  </si>
  <si>
    <t xml:space="preserve">bounds= applied</t>
  </si>
  <si>
    <t xml:space="preserve">Fit invoked with bounds</t>
  </si>
  <si>
    <t xml:space="preserve">Pass a bounds expression.</t>
  </si>
  <si>
    <t xml:space="preserve">Bounds appear in the NLMIXED log; fit stabilizes.</t>
  </si>
  <si>
    <t xml:space="preserve">Z13</t>
  </si>
  <si>
    <t xml:space="preserve">PNG export via ODS HTML5</t>
  </si>
  <si>
    <t xml:space="preserve">Plots available</t>
  </si>
  <si>
    <t xml:space="preserve">Run the commented ODS HTML5 block.</t>
  </si>
  <si>
    <t xml:space="preserve">PNG written to WORK and opens correctly.</t>
  </si>
  <si>
    <t xml:space="preserve">Z14</t>
  </si>
  <si>
    <t xml:space="preserve">Zero-mass log-sum-exp</t>
  </si>
  <si>
    <t xml:space="preserve">Data with many zeros</t>
  </si>
  <si>
    <t xml:space="preserve">Fit on high-zero data.</t>
  </si>
  <si>
    <t xml:space="preserve">No underflow or overflow at the Y=0 contribution.</t>
  </si>
  <si>
    <t xml:space="preserve">Z15</t>
  </si>
  <si>
    <t xml:space="preserve">10-class stress test</t>
  </si>
  <si>
    <t xml:space="preserve">Fit nclass=10 with labels A..J.</t>
  </si>
  <si>
    <t xml:space="preserve">Single PARMS; ten trajectories produced.</t>
  </si>
  <si>
    <t xml:space="preserve">N01</t>
  </si>
  <si>
    <t xml:space="preserve">Simulator builds BASE_FILE_SRS</t>
  </si>
  <si>
    <t xml:space="preserve">zinb.sas sourced</t>
  </si>
  <si>
    <t xml:space="preserve">Run %sim_data(class=3).</t>
  </si>
  <si>
    <t xml:space="preserve">BASE_FILE_SRS with BENE_ID, SUM_Q1-SUM_Q12, quar1-quar12 (=1..T).</t>
  </si>
  <si>
    <t xml:space="preserve">N02</t>
  </si>
  <si>
    <t xml:space="preserve">3-class example fit</t>
  </si>
  <si>
    <t xml:space="preserve">Fit %ct_zinb_nlmixed (nclass=3, class_labels=A B C).</t>
  </si>
  <si>
    <t xml:space="preserve">Converges; pe_zinb and fit_zinb created.</t>
  </si>
  <si>
    <t xml:space="preserve">N03</t>
  </si>
  <si>
    <t xml:space="preserve">nclass vs class_labels mismatch</t>
  </si>
  <si>
    <t xml:space="preserve">Macro aborts immediately with an ERROR (guarded check).</t>
  </si>
  <si>
    <t xml:space="preserve">ZINB has an explicit abort; contrast with ZIP.</t>
  </si>
  <si>
    <t xml:space="preserve">N04</t>
  </si>
  <si>
    <t xml:space="preserve">Dispersion parameter</t>
  </si>
  <si>
    <t xml:space="preserve">Inspect logk estimates.</t>
  </si>
  <si>
    <t xml:space="preserve">logk_{class} estimated; implied k = exp(logk) &gt; 0.</t>
  </si>
  <si>
    <t xml:space="preserve">N05</t>
  </si>
  <si>
    <t xml:space="preserve">Plots</t>
  </si>
  <si>
    <t xml:space="preserve">Run %ct_zinb_plots.</t>
  </si>
  <si>
    <t xml:space="preserve">Per-class ZINB curves and the mixture-mean overlay render.</t>
  </si>
  <si>
    <t xml:space="preserve">N06</t>
  </si>
  <si>
    <t xml:space="preserve">Missing Y skipped</t>
  </si>
  <si>
    <t xml:space="preserve">Missing skipped in the likelihood; model runs.</t>
  </si>
  <si>
    <t xml:space="preserve">N07</t>
  </si>
  <si>
    <t xml:space="preserve">Zero + mixture log-sum-exp</t>
  </si>
  <si>
    <t xml:space="preserve">High-zero, overdispersed data</t>
  </si>
  <si>
    <t xml:space="preserve">Fit on heavy-tailed counts.</t>
  </si>
  <si>
    <t xml:space="preserve">No under/overflow at the zero cell or the mixture step.</t>
  </si>
  <si>
    <t xml:space="preserve">N08</t>
  </si>
  <si>
    <t xml:space="preserve">Starts via %let</t>
  </si>
  <si>
    <t xml:space="preserve">Set starts (including logk) and fit.</t>
  </si>
  <si>
    <t xml:space="preserve">Supplied values used; unset parameters default to 0.</t>
  </si>
  <si>
    <t xml:space="preserve">N09</t>
  </si>
  <si>
    <t xml:space="preserve">Fit with p_order=0 then 1.</t>
  </si>
  <si>
    <t xml:space="preserve">Constant vs time-varying zero inflation.</t>
  </si>
  <si>
    <t xml:space="preserve">N10</t>
  </si>
  <si>
    <t xml:space="preserve">N11</t>
  </si>
  <si>
    <t xml:space="preserve">Dispersion approaches ZIP</t>
  </si>
  <si>
    <t xml:space="preserve">Fit with large logk starts / low overdispersion.</t>
  </si>
  <si>
    <t xml:space="preserve">As k grows the ZINB fit approaches ZIP.</t>
  </si>
  <si>
    <t xml:space="preserve">N12</t>
  </si>
  <si>
    <t xml:space="preserve">Bounds appear in the NLMIXED log.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</si>
</sst>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F2044"/>
      <name val="Arial"/>
      <family val="0"/>
      <charset val="1"/>
    </font>
    <font>
      <sz val="10"/>
      <color rgb="FF475569"/>
      <name val="Arial"/>
      <family val="0"/>
      <charset val="1"/>
    </font>
    <font>
      <b val="true"/>
      <sz val="12"/>
      <color rgb="FF0E749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E749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E2E8F0"/>
        <bgColor rgb="FFDBEAFE"/>
      </patternFill>
    </fill>
    <fill>
      <patternFill patternType="solid">
        <fgColor rgb="FFFEF3C7"/>
        <bgColor rgb="FFFFF7DB"/>
      </patternFill>
    </fill>
    <fill>
      <patternFill patternType="solid">
        <fgColor rgb="FFEDE9FE"/>
        <bgColor rgb="FFE2E8F0"/>
      </patternFill>
    </fill>
    <fill>
      <patternFill patternType="solid">
        <fgColor rgb="FFDBEAFE"/>
        <bgColor rgb="FFE2E8F0"/>
      </patternFill>
    </fill>
    <fill>
      <patternFill patternType="solid">
        <fgColor rgb="FFCCFBF1"/>
        <bgColor rgb="FFDBEAFE"/>
      </patternFill>
    </fill>
    <fill>
      <patternFill patternType="solid">
        <fgColor rgb="FF0F2044"/>
        <bgColor rgb="FF333333"/>
      </patternFill>
    </fill>
    <fill>
      <patternFill patternType="solid">
        <fgColor rgb="FFFFF7DB"/>
        <bgColor rgb="FFFEF3C7"/>
      </patternFill>
    </fill>
    <fill>
      <patternFill patternType="solid">
        <fgColor rgb="FFF4F7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0F2044"/>
          <bgColor rgb="FF000000"/>
        </patternFill>
      </fill>
    </dxf>
    <dxf>
      <fill>
        <patternFill patternType="solid">
          <fgColor rgb="FFF4F7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CFBF1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E2E8F0"/>
          <bgColor rgb="FF000000"/>
        </patternFill>
      </fill>
    </dxf>
    <dxf>
      <fill>
        <patternFill patternType="solid">
          <fgColor rgb="FFEDE9FE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FFF7D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F4F7FA"/>
      <rgbColor rgb="FF808080"/>
      <rgbColor rgb="FF9999FF"/>
      <rgbColor rgb="FF993366"/>
      <rgbColor rgb="FFFFF7DB"/>
      <rgbColor rgb="FFCCFBF1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2E8F0"/>
      <rgbColor rgb="FFFEF3C7"/>
      <rgbColor rgb="FF99CCFF"/>
      <rgbColor rgb="FFFF99CC"/>
      <rgbColor rgb="FFCC99FF"/>
      <rgbColor rgb="FFEDE9FE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F2044"/>
      <rgbColor rgb="FF339966"/>
      <rgbColor rgb="FF003300"/>
      <rgbColor rgb="FF333300"/>
      <rgbColor rgb="FF993300"/>
      <rgbColor rgb="FF993366"/>
      <rgbColor rgb="FF4755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52"/>
  </cols>
  <sheetData>
    <row r="2" customFormat="false" ht="21.7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>
      <c r="B4" s="3" t="s">
        <v>2</v>
      </c>
    </row>
    <row r="6" customFormat="false" ht="15" hidden="false" customHeight="true" outlineLevel="0" collapsed="false">
      <c r="B6" s="4" t="s">
        <v>3</v>
      </c>
    </row>
    <row r="7" customFormat="false" ht="15" hidden="false" customHeight="true" outlineLevel="0" collapsed="false">
      <c r="B7" s="5" t="s">
        <v>4</v>
      </c>
      <c r="C7" s="6" t="n">
        <f aca="false">COUNTA('Test Cases'!A2:A56)</f>
        <v>55</v>
      </c>
    </row>
    <row r="8" customFormat="false" ht="15" hidden="false" customHeight="true" outlineLevel="0" collapsed="false">
      <c r="B8" s="7" t="s">
        <v>5</v>
      </c>
      <c r="C8" s="6" t="n">
        <f aca="false">COUNTIF('Test Cases'!G2:G56,"Pass")</f>
        <v>3</v>
      </c>
    </row>
    <row r="9" customFormat="false" ht="15" hidden="false" customHeight="true" outlineLevel="0" collapsed="false">
      <c r="B9" s="7" t="s">
        <v>6</v>
      </c>
      <c r="C9" s="6" t="n">
        <f aca="false">COUNTIF('Test Cases'!G2:G56,"Fail")</f>
        <v>0</v>
      </c>
    </row>
    <row r="10" customFormat="false" ht="15" hidden="false" customHeight="true" outlineLevel="0" collapsed="false">
      <c r="B10" s="7" t="s">
        <v>7</v>
      </c>
      <c r="C10" s="6" t="n">
        <f aca="false">COUNTIF('Test Cases'!G2:G56,"Blocked")</f>
        <v>0</v>
      </c>
    </row>
    <row r="11" customFormat="false" ht="15" hidden="false" customHeight="true" outlineLevel="0" collapsed="false">
      <c r="B11" s="7" t="s">
        <v>8</v>
      </c>
      <c r="C11" s="6" t="n">
        <f aca="false">COUNTIF('Test Cases'!G2:G56,"N/A")</f>
        <v>0</v>
      </c>
    </row>
    <row r="12" customFormat="false" ht="15" hidden="false" customHeight="true" outlineLevel="0" collapsed="false">
      <c r="B12" s="7" t="s">
        <v>9</v>
      </c>
      <c r="C12" s="6" t="n">
        <f aca="false">COUNTA('Test Cases'!A2:A56)-COUNTIF('Test Cases'!G2:G56,"Pass")-COUNTIF('Test Cases'!G2:G56,"Fail")-COUNTIF('Test Cases'!G2:G56,"Blocked")-COUNTIF('Test Cases'!G2:G56,"N/A")</f>
        <v>52</v>
      </c>
    </row>
    <row r="14" customFormat="false" ht="15" hidden="false" customHeight="true" outlineLevel="0" collapsed="false">
      <c r="B14" s="4" t="s">
        <v>10</v>
      </c>
    </row>
    <row r="15" customFormat="false" ht="15" hidden="false" customHeight="true" outlineLevel="0" collapsed="false">
      <c r="B15" s="8" t="s">
        <v>11</v>
      </c>
      <c r="C15" s="7" t="n">
        <f aca="false">COUNTIF('Test Cases'!B2:B56,"Environment")</f>
        <v>4</v>
      </c>
    </row>
    <row r="16" customFormat="false" ht="15" hidden="false" customHeight="true" outlineLevel="0" collapsed="false">
      <c r="B16" s="9" t="s">
        <v>12</v>
      </c>
      <c r="C16" s="7" t="n">
        <f aca="false">COUNTIF('Test Cases'!B2:B56,"Continuous")</f>
        <v>12</v>
      </c>
    </row>
    <row r="17" customFormat="false" ht="15" hidden="false" customHeight="true" outlineLevel="0" collapsed="false">
      <c r="B17" s="10" t="s">
        <v>13</v>
      </c>
      <c r="C17" s="7" t="n">
        <f aca="false">COUNTIF('Test Cases'!B2:B56,"Ordinal")</f>
        <v>12</v>
      </c>
    </row>
    <row r="18" customFormat="false" ht="15" hidden="false" customHeight="true" outlineLevel="0" collapsed="false">
      <c r="B18" s="11" t="s">
        <v>14</v>
      </c>
      <c r="C18" s="7" t="n">
        <f aca="false">COUNTIF('Test Cases'!B2:B56,"ZIP")</f>
        <v>15</v>
      </c>
    </row>
    <row r="19" customFormat="false" ht="15" hidden="false" customHeight="true" outlineLevel="0" collapsed="false">
      <c r="B19" s="12" t="s">
        <v>15</v>
      </c>
      <c r="C19" s="7" t="n">
        <f aca="false">COUNTIF('Test Cases'!B2:B56,"ZINB")</f>
        <v>12</v>
      </c>
    </row>
    <row r="21" customFormat="false" ht="15" hidden="false" customHeight="true" outlineLevel="0" collapsed="false">
      <c r="B21" s="4" t="s">
        <v>16</v>
      </c>
    </row>
    <row r="22" customFormat="false" ht="15.75" hidden="false" customHeight="true" outlineLevel="0" collapsed="false">
      <c r="B22" s="13" t="s">
        <v>17</v>
      </c>
      <c r="C22" s="13"/>
      <c r="D22" s="13"/>
    </row>
    <row r="23" customFormat="false" ht="15.75" hidden="false" customHeight="true" outlineLevel="0" collapsed="false">
      <c r="B23" s="13" t="s">
        <v>18</v>
      </c>
      <c r="C23" s="13"/>
      <c r="D23" s="13"/>
    </row>
    <row r="24" customFormat="false" ht="15.75" hidden="false" customHeight="true" outlineLevel="0" collapsed="false">
      <c r="B24" s="13" t="s">
        <v>19</v>
      </c>
      <c r="C24" s="13"/>
      <c r="D24" s="13"/>
    </row>
    <row r="25" customFormat="false" ht="15.75" hidden="false" customHeight="true" outlineLevel="0" collapsed="false">
      <c r="B25" s="13" t="s">
        <v>20</v>
      </c>
      <c r="C25" s="13"/>
      <c r="D25" s="13"/>
    </row>
    <row r="26" customFormat="false" ht="15.75" hidden="false" customHeight="true" outlineLevel="0" collapsed="false">
      <c r="B26" s="13" t="s">
        <v>21</v>
      </c>
      <c r="C26" s="13"/>
      <c r="D26" s="13"/>
    </row>
    <row r="28" customFormat="false" ht="15" hidden="false" customHeight="true" outlineLevel="0" collapsed="false">
      <c r="B28" s="14" t="s">
        <v>22</v>
      </c>
    </row>
    <row r="29" customFormat="false" ht="15" hidden="false" customHeight="true" outlineLevel="0" collapsed="false">
      <c r="B29" s="15" t="s">
        <v>23</v>
      </c>
      <c r="C29" s="15" t="s">
        <v>24</v>
      </c>
      <c r="D29" s="15" t="s">
        <v>25</v>
      </c>
      <c r="E29" s="15" t="s">
        <v>26</v>
      </c>
      <c r="F29" s="15" t="s">
        <v>27</v>
      </c>
    </row>
    <row r="30" customFormat="false" ht="15" hidden="false" customHeight="true" outlineLevel="0" collapsed="false">
      <c r="B30" s="16" t="s">
        <v>28</v>
      </c>
      <c r="C30" s="16" t="s">
        <v>12</v>
      </c>
      <c r="D30" s="16" t="s">
        <v>29</v>
      </c>
      <c r="E30" s="16" t="s">
        <v>30</v>
      </c>
      <c r="F30" s="17" t="s">
        <v>5</v>
      </c>
    </row>
    <row r="32" customFormat="false" ht="15" hidden="false" customHeight="true" outlineLevel="0" collapsed="false">
      <c r="B32" s="18" t="s">
        <v>31</v>
      </c>
    </row>
  </sheetData>
  <mergeCells count="5">
    <mergeCell ref="B22:D22"/>
    <mergeCell ref="B23:D23"/>
    <mergeCell ref="B24:D24"/>
    <mergeCell ref="B25:D25"/>
    <mergeCell ref="B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3"/>
    <col collapsed="false" customWidth="true" hidden="false" outlineLevel="0" max="3" min="3" style="1" width="26"/>
    <col collapsed="false" customWidth="true" hidden="false" outlineLevel="0" max="4" min="4" style="1" width="30"/>
    <col collapsed="false" customWidth="true" hidden="false" outlineLevel="0" max="5" min="5" style="1" width="40"/>
    <col collapsed="false" customWidth="true" hidden="false" outlineLevel="0" max="6" min="6" style="1" width="46"/>
    <col collapsed="false" customWidth="true" hidden="false" outlineLevel="0" max="7" min="7" style="1" width="11"/>
    <col collapsed="false" customWidth="true" hidden="false" outlineLevel="0" max="8" min="8" style="1" width="30"/>
  </cols>
  <sheetData>
    <row r="1" customFormat="false" ht="25.5" hidden="false" customHeight="true" outlineLevel="0" collapsed="false">
      <c r="A1" s="19" t="s">
        <v>23</v>
      </c>
      <c r="B1" s="19" t="s">
        <v>24</v>
      </c>
      <c r="C1" s="19" t="s">
        <v>25</v>
      </c>
      <c r="D1" s="19" t="s">
        <v>32</v>
      </c>
      <c r="E1" s="19" t="s">
        <v>33</v>
      </c>
      <c r="F1" s="19" t="s">
        <v>34</v>
      </c>
      <c r="G1" s="19" t="s">
        <v>27</v>
      </c>
      <c r="H1" s="19" t="s">
        <v>35</v>
      </c>
    </row>
    <row r="2" customFormat="false" ht="31.5" hidden="false" customHeight="true" outlineLevel="0" collapsed="false">
      <c r="A2" s="20" t="s">
        <v>36</v>
      </c>
      <c r="B2" s="21" t="s">
        <v>11</v>
      </c>
      <c r="C2" s="22" t="s">
        <v>37</v>
      </c>
      <c r="D2" s="22" t="s">
        <v>38</v>
      </c>
      <c r="E2" s="22" t="s">
        <v>39</v>
      </c>
      <c r="F2" s="22" t="s">
        <v>40</v>
      </c>
      <c r="G2" s="23" t="s">
        <v>5</v>
      </c>
      <c r="H2" s="22" t="s">
        <v>41</v>
      </c>
    </row>
    <row r="3" customFormat="false" ht="31.5" hidden="false" customHeight="true" outlineLevel="0" collapsed="false">
      <c r="A3" s="24" t="s">
        <v>42</v>
      </c>
      <c r="B3" s="21" t="s">
        <v>11</v>
      </c>
      <c r="C3" s="25" t="s">
        <v>43</v>
      </c>
      <c r="D3" s="25" t="s">
        <v>44</v>
      </c>
      <c r="E3" s="25" t="s">
        <v>45</v>
      </c>
      <c r="F3" s="25" t="s">
        <v>46</v>
      </c>
      <c r="G3" s="23"/>
      <c r="H3" s="25"/>
    </row>
    <row r="4" customFormat="false" ht="30" hidden="false" customHeight="true" outlineLevel="0" collapsed="false">
      <c r="A4" s="20" t="s">
        <v>47</v>
      </c>
      <c r="B4" s="21" t="s">
        <v>11</v>
      </c>
      <c r="C4" s="22" t="s">
        <v>48</v>
      </c>
      <c r="D4" s="22" t="s">
        <v>49</v>
      </c>
      <c r="E4" s="22" t="s">
        <v>50</v>
      </c>
      <c r="F4" s="22" t="s">
        <v>51</v>
      </c>
      <c r="G4" s="23"/>
      <c r="H4" s="22"/>
    </row>
    <row r="5" customFormat="false" ht="45" hidden="false" customHeight="true" outlineLevel="0" collapsed="false">
      <c r="A5" s="24" t="s">
        <v>52</v>
      </c>
      <c r="B5" s="21" t="s">
        <v>11</v>
      </c>
      <c r="C5" s="25" t="s">
        <v>53</v>
      </c>
      <c r="D5" s="25" t="s">
        <v>54</v>
      </c>
      <c r="E5" s="25" t="s">
        <v>55</v>
      </c>
      <c r="F5" s="25" t="s">
        <v>56</v>
      </c>
      <c r="G5" s="23"/>
      <c r="H5" s="25" t="s">
        <v>57</v>
      </c>
    </row>
    <row r="6" customFormat="false" ht="45" hidden="false" customHeight="true" outlineLevel="0" collapsed="false">
      <c r="A6" s="20" t="s">
        <v>58</v>
      </c>
      <c r="B6" s="26" t="s">
        <v>12</v>
      </c>
      <c r="C6" s="22" t="s">
        <v>59</v>
      </c>
      <c r="D6" s="22" t="s">
        <v>60</v>
      </c>
      <c r="E6" s="22" t="s">
        <v>61</v>
      </c>
      <c r="F6" s="22" t="s">
        <v>62</v>
      </c>
      <c r="G6" s="23"/>
      <c r="H6" s="22"/>
    </row>
    <row r="7" customFormat="false" ht="31.5" hidden="false" customHeight="true" outlineLevel="0" collapsed="false">
      <c r="A7" s="24" t="s">
        <v>63</v>
      </c>
      <c r="B7" s="26" t="s">
        <v>12</v>
      </c>
      <c r="C7" s="25" t="s">
        <v>64</v>
      </c>
      <c r="D7" s="25" t="s">
        <v>65</v>
      </c>
      <c r="E7" s="25" t="s">
        <v>66</v>
      </c>
      <c r="F7" s="25" t="s">
        <v>67</v>
      </c>
      <c r="G7" s="23"/>
      <c r="H7" s="25"/>
    </row>
    <row r="8" customFormat="false" ht="31.5" hidden="false" customHeight="true" outlineLevel="0" collapsed="false">
      <c r="A8" s="20" t="s">
        <v>68</v>
      </c>
      <c r="B8" s="26" t="s">
        <v>12</v>
      </c>
      <c r="C8" s="22" t="s">
        <v>69</v>
      </c>
      <c r="D8" s="22" t="s">
        <v>65</v>
      </c>
      <c r="E8" s="22" t="s">
        <v>70</v>
      </c>
      <c r="F8" s="22" t="s">
        <v>71</v>
      </c>
      <c r="G8" s="23"/>
      <c r="H8" s="22"/>
    </row>
    <row r="9" customFormat="false" ht="31.5" hidden="false" customHeight="true" outlineLevel="0" collapsed="false">
      <c r="A9" s="24" t="s">
        <v>72</v>
      </c>
      <c r="B9" s="26" t="s">
        <v>12</v>
      </c>
      <c r="C9" s="25" t="s">
        <v>73</v>
      </c>
      <c r="D9" s="25" t="s">
        <v>74</v>
      </c>
      <c r="E9" s="25" t="s">
        <v>75</v>
      </c>
      <c r="F9" s="25" t="s">
        <v>76</v>
      </c>
      <c r="G9" s="23"/>
      <c r="H9" s="25"/>
    </row>
    <row r="10" customFormat="false" ht="45" hidden="false" customHeight="true" outlineLevel="0" collapsed="false">
      <c r="A10" s="20" t="s">
        <v>28</v>
      </c>
      <c r="B10" s="26" t="s">
        <v>12</v>
      </c>
      <c r="C10" s="22" t="s">
        <v>29</v>
      </c>
      <c r="D10" s="22" t="s">
        <v>77</v>
      </c>
      <c r="E10" s="22" t="s">
        <v>78</v>
      </c>
      <c r="F10" s="22" t="s">
        <v>79</v>
      </c>
      <c r="G10" s="23"/>
      <c r="H10" s="22"/>
    </row>
    <row r="11" customFormat="false" ht="31.5" hidden="false" customHeight="true" outlineLevel="0" collapsed="false">
      <c r="A11" s="24" t="s">
        <v>80</v>
      </c>
      <c r="B11" s="26" t="s">
        <v>12</v>
      </c>
      <c r="C11" s="25" t="s">
        <v>81</v>
      </c>
      <c r="D11" s="25" t="s">
        <v>82</v>
      </c>
      <c r="E11" s="25" t="s">
        <v>83</v>
      </c>
      <c r="F11" s="25" t="s">
        <v>84</v>
      </c>
      <c r="G11" s="23"/>
      <c r="H11" s="25"/>
    </row>
    <row r="12" customFormat="false" ht="45" hidden="false" customHeight="true" outlineLevel="0" collapsed="false">
      <c r="A12" s="20" t="s">
        <v>85</v>
      </c>
      <c r="B12" s="26" t="s">
        <v>12</v>
      </c>
      <c r="C12" s="22" t="s">
        <v>86</v>
      </c>
      <c r="D12" s="22" t="s">
        <v>65</v>
      </c>
      <c r="E12" s="22" t="s">
        <v>87</v>
      </c>
      <c r="F12" s="22" t="s">
        <v>88</v>
      </c>
      <c r="G12" s="23"/>
      <c r="H12" s="22"/>
    </row>
    <row r="13" customFormat="false" ht="57.75" hidden="false" customHeight="true" outlineLevel="0" collapsed="false">
      <c r="A13" s="24" t="s">
        <v>89</v>
      </c>
      <c r="B13" s="26" t="s">
        <v>12</v>
      </c>
      <c r="C13" s="25" t="s">
        <v>90</v>
      </c>
      <c r="D13" s="25" t="s">
        <v>91</v>
      </c>
      <c r="E13" s="25" t="s">
        <v>92</v>
      </c>
      <c r="F13" s="25" t="s">
        <v>93</v>
      </c>
      <c r="G13" s="23"/>
      <c r="H13" s="25" t="s">
        <v>94</v>
      </c>
    </row>
    <row r="14" customFormat="false" ht="45" hidden="false" customHeight="true" outlineLevel="0" collapsed="false">
      <c r="A14" s="20" t="s">
        <v>95</v>
      </c>
      <c r="B14" s="26" t="s">
        <v>12</v>
      </c>
      <c r="C14" s="22" t="s">
        <v>96</v>
      </c>
      <c r="D14" s="22" t="s">
        <v>65</v>
      </c>
      <c r="E14" s="22" t="s">
        <v>97</v>
      </c>
      <c r="F14" s="22" t="s">
        <v>98</v>
      </c>
      <c r="G14" s="23"/>
      <c r="H14" s="22"/>
    </row>
    <row r="15" customFormat="false" ht="45" hidden="false" customHeight="true" outlineLevel="0" collapsed="false">
      <c r="A15" s="24" t="s">
        <v>99</v>
      </c>
      <c r="B15" s="26" t="s">
        <v>12</v>
      </c>
      <c r="C15" s="25" t="s">
        <v>100</v>
      </c>
      <c r="D15" s="25" t="s">
        <v>101</v>
      </c>
      <c r="E15" s="25" t="s">
        <v>102</v>
      </c>
      <c r="F15" s="25" t="s">
        <v>103</v>
      </c>
      <c r="G15" s="23"/>
      <c r="H15" s="25" t="s">
        <v>104</v>
      </c>
    </row>
    <row r="16" customFormat="false" ht="31.5" hidden="false" customHeight="true" outlineLevel="0" collapsed="false">
      <c r="A16" s="20" t="s">
        <v>105</v>
      </c>
      <c r="B16" s="26" t="s">
        <v>12</v>
      </c>
      <c r="C16" s="22" t="s">
        <v>106</v>
      </c>
      <c r="D16" s="22" t="s">
        <v>65</v>
      </c>
      <c r="E16" s="22" t="s">
        <v>107</v>
      </c>
      <c r="F16" s="22" t="s">
        <v>108</v>
      </c>
      <c r="G16" s="23"/>
      <c r="H16" s="22"/>
    </row>
    <row r="17" customFormat="false" ht="45" hidden="false" customHeight="true" outlineLevel="0" collapsed="false">
      <c r="A17" s="24" t="s">
        <v>109</v>
      </c>
      <c r="B17" s="26" t="s">
        <v>12</v>
      </c>
      <c r="C17" s="25" t="s">
        <v>110</v>
      </c>
      <c r="D17" s="25" t="s">
        <v>111</v>
      </c>
      <c r="E17" s="25" t="s">
        <v>112</v>
      </c>
      <c r="F17" s="25" t="s">
        <v>113</v>
      </c>
      <c r="G17" s="23"/>
      <c r="H17" s="25"/>
    </row>
    <row r="18" customFormat="false" ht="31.5" hidden="false" customHeight="true" outlineLevel="0" collapsed="false">
      <c r="A18" s="20" t="s">
        <v>114</v>
      </c>
      <c r="B18" s="27" t="s">
        <v>13</v>
      </c>
      <c r="C18" s="22" t="s">
        <v>59</v>
      </c>
      <c r="D18" s="22" t="s">
        <v>115</v>
      </c>
      <c r="E18" s="22" t="s">
        <v>116</v>
      </c>
      <c r="F18" s="22" t="s">
        <v>117</v>
      </c>
      <c r="G18" s="23"/>
      <c r="H18" s="22" t="s">
        <v>118</v>
      </c>
    </row>
    <row r="19" customFormat="false" ht="31.5" hidden="false" customHeight="true" outlineLevel="0" collapsed="false">
      <c r="A19" s="24" t="s">
        <v>119</v>
      </c>
      <c r="B19" s="27" t="s">
        <v>13</v>
      </c>
      <c r="C19" s="25" t="s">
        <v>120</v>
      </c>
      <c r="D19" s="25" t="s">
        <v>121</v>
      </c>
      <c r="E19" s="25" t="s">
        <v>122</v>
      </c>
      <c r="F19" s="25" t="s">
        <v>123</v>
      </c>
      <c r="G19" s="23"/>
      <c r="H19" s="25"/>
    </row>
    <row r="20" customFormat="false" ht="31.5" hidden="false" customHeight="true" outlineLevel="0" collapsed="false">
      <c r="A20" s="20" t="s">
        <v>124</v>
      </c>
      <c r="B20" s="27" t="s">
        <v>13</v>
      </c>
      <c r="C20" s="22" t="s">
        <v>125</v>
      </c>
      <c r="D20" s="22" t="s">
        <v>65</v>
      </c>
      <c r="E20" s="22" t="s">
        <v>126</v>
      </c>
      <c r="F20" s="22" t="s">
        <v>127</v>
      </c>
      <c r="G20" s="23"/>
      <c r="H20" s="22"/>
    </row>
    <row r="21" customFormat="false" ht="31.5" hidden="false" customHeight="true" outlineLevel="0" collapsed="false">
      <c r="A21" s="24" t="s">
        <v>128</v>
      </c>
      <c r="B21" s="27" t="s">
        <v>13</v>
      </c>
      <c r="C21" s="25" t="s">
        <v>129</v>
      </c>
      <c r="D21" s="25" t="s">
        <v>130</v>
      </c>
      <c r="E21" s="25" t="s">
        <v>131</v>
      </c>
      <c r="F21" s="25" t="s">
        <v>132</v>
      </c>
      <c r="G21" s="23"/>
      <c r="H21" s="25"/>
    </row>
    <row r="22" customFormat="false" ht="70.5" hidden="false" customHeight="true" outlineLevel="0" collapsed="false">
      <c r="A22" s="20" t="s">
        <v>133</v>
      </c>
      <c r="B22" s="27" t="s">
        <v>13</v>
      </c>
      <c r="C22" s="22" t="s">
        <v>134</v>
      </c>
      <c r="D22" s="22" t="s">
        <v>135</v>
      </c>
      <c r="E22" s="22" t="s">
        <v>136</v>
      </c>
      <c r="F22" s="22" t="s">
        <v>137</v>
      </c>
      <c r="G22" s="23"/>
      <c r="H22" s="22" t="s">
        <v>138</v>
      </c>
    </row>
    <row r="23" customFormat="false" ht="31.5" hidden="false" customHeight="true" outlineLevel="0" collapsed="false">
      <c r="A23" s="24" t="s">
        <v>139</v>
      </c>
      <c r="B23" s="27" t="s">
        <v>13</v>
      </c>
      <c r="C23" s="25" t="s">
        <v>140</v>
      </c>
      <c r="D23" s="25" t="s">
        <v>141</v>
      </c>
      <c r="E23" s="25" t="s">
        <v>142</v>
      </c>
      <c r="F23" s="25" t="s">
        <v>143</v>
      </c>
      <c r="G23" s="23"/>
      <c r="H23" s="25"/>
    </row>
    <row r="24" customFormat="false" ht="45" hidden="false" customHeight="true" outlineLevel="0" collapsed="false">
      <c r="A24" s="20" t="s">
        <v>144</v>
      </c>
      <c r="B24" s="27" t="s">
        <v>13</v>
      </c>
      <c r="C24" s="22" t="s">
        <v>145</v>
      </c>
      <c r="D24" s="22" t="s">
        <v>146</v>
      </c>
      <c r="E24" s="22" t="s">
        <v>147</v>
      </c>
      <c r="F24" s="22" t="s">
        <v>148</v>
      </c>
      <c r="G24" s="23" t="s">
        <v>5</v>
      </c>
      <c r="H24" s="22" t="s">
        <v>149</v>
      </c>
    </row>
    <row r="25" customFormat="false" ht="31.5" hidden="false" customHeight="true" outlineLevel="0" collapsed="false">
      <c r="A25" s="24" t="s">
        <v>150</v>
      </c>
      <c r="B25" s="27" t="s">
        <v>13</v>
      </c>
      <c r="C25" s="25" t="s">
        <v>151</v>
      </c>
      <c r="D25" s="25" t="s">
        <v>152</v>
      </c>
      <c r="E25" s="25" t="s">
        <v>153</v>
      </c>
      <c r="F25" s="25" t="s">
        <v>154</v>
      </c>
      <c r="G25" s="23"/>
      <c r="H25" s="25"/>
    </row>
    <row r="26" customFormat="false" ht="31.5" hidden="false" customHeight="true" outlineLevel="0" collapsed="false">
      <c r="A26" s="20" t="s">
        <v>155</v>
      </c>
      <c r="B26" s="27" t="s">
        <v>13</v>
      </c>
      <c r="C26" s="22" t="s">
        <v>156</v>
      </c>
      <c r="D26" s="22" t="s">
        <v>146</v>
      </c>
      <c r="E26" s="22" t="s">
        <v>157</v>
      </c>
      <c r="F26" s="22" t="s">
        <v>158</v>
      </c>
      <c r="G26" s="23" t="s">
        <v>5</v>
      </c>
      <c r="H26" s="22" t="s">
        <v>159</v>
      </c>
    </row>
    <row r="27" customFormat="false" ht="31.5" hidden="false" customHeight="true" outlineLevel="0" collapsed="false">
      <c r="A27" s="24" t="s">
        <v>160</v>
      </c>
      <c r="B27" s="27" t="s">
        <v>13</v>
      </c>
      <c r="C27" s="25" t="s">
        <v>100</v>
      </c>
      <c r="D27" s="25" t="s">
        <v>161</v>
      </c>
      <c r="E27" s="25" t="s">
        <v>162</v>
      </c>
      <c r="F27" s="25" t="s">
        <v>163</v>
      </c>
      <c r="G27" s="23"/>
      <c r="H27" s="25"/>
    </row>
    <row r="28" customFormat="false" ht="45" hidden="false" customHeight="true" outlineLevel="0" collapsed="false">
      <c r="A28" s="20" t="s">
        <v>164</v>
      </c>
      <c r="B28" s="27" t="s">
        <v>13</v>
      </c>
      <c r="C28" s="22" t="s">
        <v>165</v>
      </c>
      <c r="D28" s="22" t="s">
        <v>65</v>
      </c>
      <c r="E28" s="22" t="s">
        <v>166</v>
      </c>
      <c r="F28" s="22" t="s">
        <v>167</v>
      </c>
      <c r="G28" s="23"/>
      <c r="H28" s="22" t="s">
        <v>168</v>
      </c>
    </row>
    <row r="29" customFormat="false" ht="45" hidden="false" customHeight="true" outlineLevel="0" collapsed="false">
      <c r="A29" s="20" t="s">
        <v>169</v>
      </c>
      <c r="B29" s="27" t="s">
        <v>13</v>
      </c>
      <c r="C29" s="22" t="s">
        <v>170</v>
      </c>
      <c r="D29" s="22" t="s">
        <v>171</v>
      </c>
      <c r="E29" s="22" t="s">
        <v>172</v>
      </c>
      <c r="F29" s="22" t="s">
        <v>173</v>
      </c>
      <c r="G29" s="23"/>
      <c r="H29" s="22" t="s">
        <v>174</v>
      </c>
    </row>
    <row r="30" customFormat="false" ht="31.5" hidden="false" customHeight="true" outlineLevel="0" collapsed="false">
      <c r="A30" s="24" t="s">
        <v>175</v>
      </c>
      <c r="B30" s="28" t="s">
        <v>14</v>
      </c>
      <c r="C30" s="25" t="s">
        <v>176</v>
      </c>
      <c r="D30" s="25" t="s">
        <v>177</v>
      </c>
      <c r="E30" s="25" t="s">
        <v>178</v>
      </c>
      <c r="F30" s="25" t="s">
        <v>179</v>
      </c>
      <c r="G30" s="23"/>
      <c r="H30" s="25"/>
    </row>
    <row r="31" customFormat="false" ht="31.5" hidden="false" customHeight="true" outlineLevel="0" collapsed="false">
      <c r="A31" s="20" t="s">
        <v>180</v>
      </c>
      <c r="B31" s="28" t="s">
        <v>14</v>
      </c>
      <c r="C31" s="22" t="s">
        <v>181</v>
      </c>
      <c r="D31" s="22" t="s">
        <v>182</v>
      </c>
      <c r="E31" s="22" t="s">
        <v>183</v>
      </c>
      <c r="F31" s="22" t="s">
        <v>184</v>
      </c>
      <c r="G31" s="23"/>
      <c r="H31" s="22"/>
    </row>
    <row r="32" customFormat="false" ht="31.5" hidden="false" customHeight="true" outlineLevel="0" collapsed="false">
      <c r="A32" s="24" t="s">
        <v>185</v>
      </c>
      <c r="B32" s="28" t="s">
        <v>14</v>
      </c>
      <c r="C32" s="25" t="s">
        <v>186</v>
      </c>
      <c r="D32" s="25" t="s">
        <v>65</v>
      </c>
      <c r="E32" s="25" t="s">
        <v>187</v>
      </c>
      <c r="F32" s="25" t="s">
        <v>188</v>
      </c>
      <c r="G32" s="23"/>
      <c r="H32" s="25"/>
    </row>
    <row r="33" customFormat="false" ht="31.5" hidden="false" customHeight="true" outlineLevel="0" collapsed="false">
      <c r="A33" s="20" t="s">
        <v>189</v>
      </c>
      <c r="B33" s="28" t="s">
        <v>14</v>
      </c>
      <c r="C33" s="22" t="s">
        <v>190</v>
      </c>
      <c r="D33" s="22" t="s">
        <v>65</v>
      </c>
      <c r="E33" s="22" t="s">
        <v>191</v>
      </c>
      <c r="F33" s="22" t="s">
        <v>192</v>
      </c>
      <c r="G33" s="23"/>
      <c r="H33" s="22"/>
    </row>
    <row r="34" customFormat="false" ht="45" hidden="false" customHeight="true" outlineLevel="0" collapsed="false">
      <c r="A34" s="24" t="s">
        <v>193</v>
      </c>
      <c r="B34" s="28" t="s">
        <v>14</v>
      </c>
      <c r="C34" s="25" t="s">
        <v>194</v>
      </c>
      <c r="D34" s="25" t="s">
        <v>146</v>
      </c>
      <c r="E34" s="25" t="s">
        <v>195</v>
      </c>
      <c r="F34" s="25" t="s">
        <v>196</v>
      </c>
      <c r="G34" s="23"/>
      <c r="H34" s="25"/>
    </row>
    <row r="35" customFormat="false" ht="30" hidden="false" customHeight="true" outlineLevel="0" collapsed="false">
      <c r="A35" s="20" t="s">
        <v>197</v>
      </c>
      <c r="B35" s="28" t="s">
        <v>14</v>
      </c>
      <c r="C35" s="22" t="s">
        <v>198</v>
      </c>
      <c r="D35" s="22" t="s">
        <v>130</v>
      </c>
      <c r="E35" s="22" t="s">
        <v>199</v>
      </c>
      <c r="F35" s="22" t="s">
        <v>200</v>
      </c>
      <c r="G35" s="23"/>
      <c r="H35" s="22" t="s">
        <v>201</v>
      </c>
    </row>
    <row r="36" customFormat="false" ht="31.5" hidden="false" customHeight="true" outlineLevel="0" collapsed="false">
      <c r="A36" s="24" t="s">
        <v>202</v>
      </c>
      <c r="B36" s="28" t="s">
        <v>14</v>
      </c>
      <c r="C36" s="25" t="s">
        <v>203</v>
      </c>
      <c r="D36" s="25" t="s">
        <v>204</v>
      </c>
      <c r="E36" s="25" t="s">
        <v>162</v>
      </c>
      <c r="F36" s="25" t="s">
        <v>205</v>
      </c>
      <c r="G36" s="23"/>
      <c r="H36" s="25"/>
    </row>
    <row r="37" customFormat="false" ht="31.5" hidden="false" customHeight="true" outlineLevel="0" collapsed="false">
      <c r="A37" s="20" t="s">
        <v>206</v>
      </c>
      <c r="B37" s="28" t="s">
        <v>14</v>
      </c>
      <c r="C37" s="22" t="s">
        <v>207</v>
      </c>
      <c r="D37" s="22" t="s">
        <v>208</v>
      </c>
      <c r="E37" s="22" t="s">
        <v>209</v>
      </c>
      <c r="F37" s="22" t="s">
        <v>210</v>
      </c>
      <c r="G37" s="23"/>
      <c r="H37" s="22"/>
    </row>
    <row r="38" customFormat="false" ht="31.5" hidden="false" customHeight="true" outlineLevel="0" collapsed="false">
      <c r="A38" s="24" t="s">
        <v>211</v>
      </c>
      <c r="B38" s="28" t="s">
        <v>14</v>
      </c>
      <c r="C38" s="25" t="s">
        <v>212</v>
      </c>
      <c r="D38" s="25" t="s">
        <v>213</v>
      </c>
      <c r="E38" s="25" t="s">
        <v>214</v>
      </c>
      <c r="F38" s="25" t="s">
        <v>215</v>
      </c>
      <c r="G38" s="23"/>
      <c r="H38" s="25"/>
    </row>
    <row r="39" customFormat="false" ht="31.5" hidden="false" customHeight="true" outlineLevel="0" collapsed="false">
      <c r="A39" s="20" t="s">
        <v>216</v>
      </c>
      <c r="B39" s="28" t="s">
        <v>14</v>
      </c>
      <c r="C39" s="22" t="s">
        <v>217</v>
      </c>
      <c r="D39" s="22" t="s">
        <v>65</v>
      </c>
      <c r="E39" s="22" t="s">
        <v>218</v>
      </c>
      <c r="F39" s="22" t="s">
        <v>219</v>
      </c>
      <c r="G39" s="23"/>
      <c r="H39" s="22"/>
    </row>
    <row r="40" customFormat="false" ht="31.5" hidden="false" customHeight="true" outlineLevel="0" collapsed="false">
      <c r="A40" s="24" t="s">
        <v>220</v>
      </c>
      <c r="B40" s="28" t="s">
        <v>14</v>
      </c>
      <c r="C40" s="25" t="s">
        <v>221</v>
      </c>
      <c r="D40" s="25" t="s">
        <v>65</v>
      </c>
      <c r="E40" s="25" t="s">
        <v>222</v>
      </c>
      <c r="F40" s="25" t="s">
        <v>223</v>
      </c>
      <c r="G40" s="23"/>
      <c r="H40" s="25"/>
    </row>
    <row r="41" customFormat="false" ht="31.5" hidden="false" customHeight="true" outlineLevel="0" collapsed="false">
      <c r="A41" s="20" t="s">
        <v>224</v>
      </c>
      <c r="B41" s="28" t="s">
        <v>14</v>
      </c>
      <c r="C41" s="22" t="s">
        <v>225</v>
      </c>
      <c r="D41" s="22" t="s">
        <v>226</v>
      </c>
      <c r="E41" s="22" t="s">
        <v>227</v>
      </c>
      <c r="F41" s="22" t="s">
        <v>228</v>
      </c>
      <c r="G41" s="23"/>
      <c r="H41" s="22"/>
    </row>
    <row r="42" customFormat="false" ht="31.5" hidden="false" customHeight="true" outlineLevel="0" collapsed="false">
      <c r="A42" s="24" t="s">
        <v>229</v>
      </c>
      <c r="B42" s="28" t="s">
        <v>14</v>
      </c>
      <c r="C42" s="25" t="s">
        <v>230</v>
      </c>
      <c r="D42" s="25" t="s">
        <v>231</v>
      </c>
      <c r="E42" s="25" t="s">
        <v>232</v>
      </c>
      <c r="F42" s="25" t="s">
        <v>233</v>
      </c>
      <c r="G42" s="23"/>
      <c r="H42" s="25"/>
    </row>
    <row r="43" customFormat="false" ht="30" hidden="false" customHeight="true" outlineLevel="0" collapsed="false">
      <c r="A43" s="20" t="s">
        <v>234</v>
      </c>
      <c r="B43" s="28" t="s">
        <v>14</v>
      </c>
      <c r="C43" s="22" t="s">
        <v>235</v>
      </c>
      <c r="D43" s="22" t="s">
        <v>236</v>
      </c>
      <c r="E43" s="22" t="s">
        <v>237</v>
      </c>
      <c r="F43" s="22" t="s">
        <v>238</v>
      </c>
      <c r="G43" s="23"/>
      <c r="H43" s="22"/>
    </row>
    <row r="44" customFormat="false" ht="31.5" hidden="false" customHeight="true" outlineLevel="0" collapsed="false">
      <c r="A44" s="24" t="s">
        <v>239</v>
      </c>
      <c r="B44" s="28" t="s">
        <v>14</v>
      </c>
      <c r="C44" s="25" t="s">
        <v>240</v>
      </c>
      <c r="D44" s="25" t="s">
        <v>65</v>
      </c>
      <c r="E44" s="25" t="s">
        <v>241</v>
      </c>
      <c r="F44" s="25" t="s">
        <v>242</v>
      </c>
      <c r="G44" s="23"/>
      <c r="H44" s="25"/>
    </row>
    <row r="45" customFormat="false" ht="31.5" hidden="false" customHeight="true" outlineLevel="0" collapsed="false">
      <c r="A45" s="20" t="s">
        <v>243</v>
      </c>
      <c r="B45" s="29" t="s">
        <v>15</v>
      </c>
      <c r="C45" s="22" t="s">
        <v>244</v>
      </c>
      <c r="D45" s="22" t="s">
        <v>245</v>
      </c>
      <c r="E45" s="22" t="s">
        <v>246</v>
      </c>
      <c r="F45" s="22" t="s">
        <v>247</v>
      </c>
      <c r="G45" s="23"/>
      <c r="H45" s="22"/>
    </row>
    <row r="46" customFormat="false" ht="31.5" hidden="false" customHeight="true" outlineLevel="0" collapsed="false">
      <c r="A46" s="24" t="s">
        <v>248</v>
      </c>
      <c r="B46" s="29" t="s">
        <v>15</v>
      </c>
      <c r="C46" s="25" t="s">
        <v>249</v>
      </c>
      <c r="D46" s="25" t="s">
        <v>65</v>
      </c>
      <c r="E46" s="25" t="s">
        <v>250</v>
      </c>
      <c r="F46" s="25" t="s">
        <v>251</v>
      </c>
      <c r="G46" s="23"/>
      <c r="H46" s="25"/>
    </row>
    <row r="47" customFormat="false" ht="31.5" hidden="false" customHeight="true" outlineLevel="0" collapsed="false">
      <c r="A47" s="20" t="s">
        <v>252</v>
      </c>
      <c r="B47" s="29" t="s">
        <v>15</v>
      </c>
      <c r="C47" s="22" t="s">
        <v>253</v>
      </c>
      <c r="D47" s="22" t="s">
        <v>130</v>
      </c>
      <c r="E47" s="22" t="s">
        <v>199</v>
      </c>
      <c r="F47" s="22" t="s">
        <v>254</v>
      </c>
      <c r="G47" s="23"/>
      <c r="H47" s="22" t="s">
        <v>255</v>
      </c>
    </row>
    <row r="48" customFormat="false" ht="31.5" hidden="false" customHeight="true" outlineLevel="0" collapsed="false">
      <c r="A48" s="24" t="s">
        <v>256</v>
      </c>
      <c r="B48" s="29" t="s">
        <v>15</v>
      </c>
      <c r="C48" s="25" t="s">
        <v>257</v>
      </c>
      <c r="D48" s="25" t="s">
        <v>146</v>
      </c>
      <c r="E48" s="25" t="s">
        <v>258</v>
      </c>
      <c r="F48" s="25" t="s">
        <v>259</v>
      </c>
      <c r="G48" s="23"/>
      <c r="H48" s="25"/>
    </row>
    <row r="49" customFormat="false" ht="31.5" hidden="false" customHeight="true" outlineLevel="0" collapsed="false">
      <c r="A49" s="20" t="s">
        <v>260</v>
      </c>
      <c r="B49" s="29" t="s">
        <v>15</v>
      </c>
      <c r="C49" s="22" t="s">
        <v>261</v>
      </c>
      <c r="D49" s="22" t="s">
        <v>146</v>
      </c>
      <c r="E49" s="22" t="s">
        <v>262</v>
      </c>
      <c r="F49" s="22" t="s">
        <v>263</v>
      </c>
      <c r="G49" s="23"/>
      <c r="H49" s="22"/>
    </row>
    <row r="50" customFormat="false" ht="31.5" hidden="false" customHeight="true" outlineLevel="0" collapsed="false">
      <c r="A50" s="24" t="s">
        <v>264</v>
      </c>
      <c r="B50" s="29" t="s">
        <v>15</v>
      </c>
      <c r="C50" s="25" t="s">
        <v>265</v>
      </c>
      <c r="D50" s="25" t="s">
        <v>204</v>
      </c>
      <c r="E50" s="25" t="s">
        <v>162</v>
      </c>
      <c r="F50" s="25" t="s">
        <v>266</v>
      </c>
      <c r="G50" s="23"/>
      <c r="H50" s="25"/>
    </row>
    <row r="51" customFormat="false" ht="31.5" hidden="false" customHeight="true" outlineLevel="0" collapsed="false">
      <c r="A51" s="20" t="s">
        <v>267</v>
      </c>
      <c r="B51" s="29" t="s">
        <v>15</v>
      </c>
      <c r="C51" s="22" t="s">
        <v>268</v>
      </c>
      <c r="D51" s="22" t="s">
        <v>269</v>
      </c>
      <c r="E51" s="22" t="s">
        <v>270</v>
      </c>
      <c r="F51" s="22" t="s">
        <v>271</v>
      </c>
      <c r="G51" s="23"/>
      <c r="H51" s="22"/>
    </row>
    <row r="52" customFormat="false" ht="30" hidden="false" customHeight="true" outlineLevel="0" collapsed="false">
      <c r="A52" s="24" t="s">
        <v>272</v>
      </c>
      <c r="B52" s="29" t="s">
        <v>15</v>
      </c>
      <c r="C52" s="25" t="s">
        <v>273</v>
      </c>
      <c r="D52" s="25" t="s">
        <v>213</v>
      </c>
      <c r="E52" s="25" t="s">
        <v>274</v>
      </c>
      <c r="F52" s="25" t="s">
        <v>275</v>
      </c>
      <c r="G52" s="23"/>
      <c r="H52" s="25"/>
    </row>
    <row r="53" customFormat="false" ht="31.5" hidden="false" customHeight="true" outlineLevel="0" collapsed="false">
      <c r="A53" s="20" t="s">
        <v>276</v>
      </c>
      <c r="B53" s="29" t="s">
        <v>15</v>
      </c>
      <c r="C53" s="22" t="s">
        <v>217</v>
      </c>
      <c r="D53" s="22" t="s">
        <v>65</v>
      </c>
      <c r="E53" s="22" t="s">
        <v>277</v>
      </c>
      <c r="F53" s="22" t="s">
        <v>278</v>
      </c>
      <c r="G53" s="23"/>
      <c r="H53" s="22"/>
    </row>
    <row r="54" customFormat="false" ht="31.5" hidden="false" customHeight="true" outlineLevel="0" collapsed="false">
      <c r="A54" s="24" t="s">
        <v>279</v>
      </c>
      <c r="B54" s="29" t="s">
        <v>15</v>
      </c>
      <c r="C54" s="25" t="s">
        <v>221</v>
      </c>
      <c r="D54" s="25" t="s">
        <v>65</v>
      </c>
      <c r="E54" s="25" t="s">
        <v>222</v>
      </c>
      <c r="F54" s="25" t="s">
        <v>223</v>
      </c>
      <c r="G54" s="23"/>
      <c r="H54" s="25"/>
    </row>
    <row r="55" customFormat="false" ht="30" hidden="false" customHeight="true" outlineLevel="0" collapsed="false">
      <c r="A55" s="20" t="s">
        <v>280</v>
      </c>
      <c r="B55" s="29" t="s">
        <v>15</v>
      </c>
      <c r="C55" s="22" t="s">
        <v>281</v>
      </c>
      <c r="D55" s="22" t="s">
        <v>65</v>
      </c>
      <c r="E55" s="22" t="s">
        <v>282</v>
      </c>
      <c r="F55" s="22" t="s">
        <v>283</v>
      </c>
      <c r="G55" s="23"/>
      <c r="H55" s="22"/>
    </row>
    <row r="56" customFormat="false" ht="15" hidden="false" customHeight="false" outlineLevel="0" collapsed="false">
      <c r="A56" s="24" t="s">
        <v>284</v>
      </c>
      <c r="B56" s="29" t="s">
        <v>15</v>
      </c>
      <c r="C56" s="25" t="s">
        <v>225</v>
      </c>
      <c r="D56" s="25" t="s">
        <v>226</v>
      </c>
      <c r="E56" s="25" t="s">
        <v>227</v>
      </c>
      <c r="F56" s="25" t="s">
        <v>285</v>
      </c>
      <c r="G56" s="23"/>
      <c r="H56" s="25"/>
    </row>
  </sheetData>
  <autoFilter ref="A1:H56"/>
  <dataValidations count="1">
    <dataValidation allowBlank="true" errorStyle="stop" operator="between" showDropDown="false" showErrorMessage="false" showInputMessage="false" sqref="G2:G56" type="list">
      <formula1>"Pass,Fail,Blocked,N/A"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2026-07-22T00:08:48Z</dcterms:created>
  <dc:creator>openpyxl</dc:creator>
  <dc:description/>
  <dc:language>en-US</dc:language>
  <cp:lastModifiedBy/>
  <dcterms:modified xsi:type="dcterms:W3CDTF">2026-10-14T18:25:06Z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